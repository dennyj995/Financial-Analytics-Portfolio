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60010d30438c4d/Desktop/"/>
    </mc:Choice>
  </mc:AlternateContent>
  <xr:revisionPtr revIDLastSave="0" documentId="8_{7F8BA596-A476-4A20-BEEC-11BB799840A8}" xr6:coauthVersionLast="47" xr6:coauthVersionMax="47" xr10:uidLastSave="{00000000-0000-0000-0000-000000000000}"/>
  <bookViews>
    <workbookView xWindow="-120" yWindow="-120" windowWidth="20730" windowHeight="11760" activeTab="1" xr2:uid="{4D08DFF2-9C1A-4DB4-B3A4-D3E47CACFD37}"/>
  </bookViews>
  <sheets>
    <sheet name="Trial_Balance" sheetId="1" r:id="rId1"/>
    <sheet name="Financial_Stat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2" l="1"/>
  <c r="B22" i="2"/>
  <c r="B20" i="2"/>
  <c r="B21" i="2"/>
  <c r="B19" i="2"/>
  <c r="B17" i="2"/>
  <c r="B15" i="2"/>
  <c r="B16" i="2"/>
  <c r="B14" i="2"/>
  <c r="B9" i="2"/>
  <c r="B8" i="2"/>
  <c r="B7" i="2"/>
  <c r="B6" i="2"/>
  <c r="B4" i="2"/>
  <c r="B5" i="2"/>
  <c r="B3" i="2"/>
</calcChain>
</file>

<file path=xl/sharedStrings.xml><?xml version="1.0" encoding="utf-8"?>
<sst xmlns="http://schemas.openxmlformats.org/spreadsheetml/2006/main" count="65" uniqueCount="41">
  <si>
    <t>Account_Id</t>
  </si>
  <si>
    <t>Account_Name</t>
  </si>
  <si>
    <t>Category</t>
  </si>
  <si>
    <t>Type</t>
  </si>
  <si>
    <t>Amount (USD)</t>
  </si>
  <si>
    <t>AC-101</t>
  </si>
  <si>
    <t>Cash &amp; Bank</t>
  </si>
  <si>
    <t>Asset</t>
  </si>
  <si>
    <t>Debit</t>
  </si>
  <si>
    <t>AC-102</t>
  </si>
  <si>
    <t>Accounts Receivable</t>
  </si>
  <si>
    <t>AC-103</t>
  </si>
  <si>
    <t>Office Equipment</t>
  </si>
  <si>
    <t>AC-201</t>
  </si>
  <si>
    <t>Accounts Payable</t>
  </si>
  <si>
    <t>Liability</t>
  </si>
  <si>
    <t>Credit</t>
  </si>
  <si>
    <t>AC-202</t>
  </si>
  <si>
    <t>Loan from Bank</t>
  </si>
  <si>
    <t>AC-301</t>
  </si>
  <si>
    <t>Share Capital</t>
  </si>
  <si>
    <t>Equity</t>
  </si>
  <si>
    <t>AC-401</t>
  </si>
  <si>
    <t>Revenue</t>
  </si>
  <si>
    <t>AC-501</t>
  </si>
  <si>
    <t>Cost of Goods Sold (COGS)</t>
  </si>
  <si>
    <t>Expense</t>
  </si>
  <si>
    <t>AC-502</t>
  </si>
  <si>
    <t>Salary Expense</t>
  </si>
  <si>
    <t>AC-503</t>
  </si>
  <si>
    <t>Rent Expense</t>
  </si>
  <si>
    <t>Revenue/Sales</t>
  </si>
  <si>
    <t>Income Statement</t>
  </si>
  <si>
    <t>Particulars</t>
  </si>
  <si>
    <t>Gross Profit</t>
  </si>
  <si>
    <t>Net Profit</t>
  </si>
  <si>
    <t>Total Operating Expense</t>
  </si>
  <si>
    <t>Balance Sheet</t>
  </si>
  <si>
    <t>Total Assets</t>
  </si>
  <si>
    <t>Retained earnings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</si>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</sst>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AD64-F31A-42B4-8FBA-DA9DE1404810}">
  <dimension ref="A1:E11"/>
  <sheetViews>
    <sheetView workbookViewId="0">
      <selection activeCell="E11" sqref="E11"/>
    </sheetView>
  </sheetViews>
  <sheetFormatPr defaultRowHeight="15" x14ac:dyDescent="0.25"/>
  <cols>
    <col min="1" max="1" width="10.42578125" customWidth="1"/>
    <col min="2" max="2" width="23.5703125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45000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>
        <v>28000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>
        <v>15000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>
        <v>12000</v>
      </c>
    </row>
    <row r="6" spans="1:5" x14ac:dyDescent="0.25">
      <c r="A6" t="s">
        <v>17</v>
      </c>
      <c r="B6" t="s">
        <v>18</v>
      </c>
      <c r="C6" t="s">
        <v>15</v>
      </c>
      <c r="D6" t="s">
        <v>16</v>
      </c>
      <c r="E6">
        <v>25000</v>
      </c>
    </row>
    <row r="7" spans="1:5" x14ac:dyDescent="0.25">
      <c r="A7" t="s">
        <v>19</v>
      </c>
      <c r="B7" t="s">
        <v>20</v>
      </c>
      <c r="C7" t="s">
        <v>21</v>
      </c>
      <c r="D7" t="s">
        <v>16</v>
      </c>
      <c r="E7">
        <v>30000</v>
      </c>
    </row>
    <row r="8" spans="1:5" x14ac:dyDescent="0.25">
      <c r="A8" t="s">
        <v>22</v>
      </c>
      <c r="B8" t="s">
        <v>31</v>
      </c>
      <c r="C8" t="s">
        <v>23</v>
      </c>
      <c r="D8" t="s">
        <v>16</v>
      </c>
      <c r="E8">
        <v>110000</v>
      </c>
    </row>
    <row r="9" spans="1:5" x14ac:dyDescent="0.25">
      <c r="A9" t="s">
        <v>24</v>
      </c>
      <c r="B9" t="s">
        <v>25</v>
      </c>
      <c r="C9" t="s">
        <v>26</v>
      </c>
      <c r="D9" t="s">
        <v>8</v>
      </c>
      <c r="E9">
        <v>55000</v>
      </c>
    </row>
    <row r="10" spans="1:5" x14ac:dyDescent="0.25">
      <c r="A10" t="s">
        <v>27</v>
      </c>
      <c r="B10" t="s">
        <v>28</v>
      </c>
      <c r="C10" t="s">
        <v>26</v>
      </c>
      <c r="D10" t="s">
        <v>8</v>
      </c>
      <c r="E10">
        <v>22000</v>
      </c>
    </row>
    <row r="11" spans="1:5" x14ac:dyDescent="0.25">
      <c r="A11" t="s">
        <v>29</v>
      </c>
      <c r="B11" t="s">
        <v>30</v>
      </c>
      <c r="C11" t="s">
        <v>26</v>
      </c>
      <c r="D11" t="s">
        <v>8</v>
      </c>
      <c r="E11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1E99-4AAF-4D33-8AA0-DBF6BE2D2F95}">
  <dimension ref="A1:B23"/>
  <sheetViews>
    <sheetView tabSelected="1" topLeftCell="A11" workbookViewId="0">
      <selection activeCell="B24" sqref="B24"/>
    </sheetView>
  </sheetViews>
  <sheetFormatPr defaultRowHeight="15" x14ac:dyDescent="0.25"/>
  <cols>
    <col min="1" max="1" width="24" customWidth="1"/>
    <col min="2" max="2" width="14.7109375" customWidth="1"/>
  </cols>
  <sheetData>
    <row r="1" spans="1:2" x14ac:dyDescent="0.25">
      <c r="A1" s="1" t="s">
        <v>32</v>
      </c>
    </row>
    <row r="2" spans="1:2" x14ac:dyDescent="0.25">
      <c r="A2" t="s">
        <v>33</v>
      </c>
      <c r="B2" t="s">
        <v>4</v>
      </c>
    </row>
    <row r="3" spans="1:2" x14ac:dyDescent="0.25">
      <c r="A3" t="s">
        <v>31</v>
      </c>
      <c r="B3" s="2">
        <f>SUMIF(Trial_Balance!B:B,A3,Trial_Balance!E:E)</f>
        <v>110000</v>
      </c>
    </row>
    <row r="4" spans="1:2" x14ac:dyDescent="0.25">
      <c r="A4" t="s">
        <v>25</v>
      </c>
      <c r="B4" s="2">
        <f>SUMIF(Trial_Balance!B:B,A4,Trial_Balance!E:E)</f>
        <v>55000</v>
      </c>
    </row>
    <row r="5" spans="1:2" x14ac:dyDescent="0.25">
      <c r="A5" t="s">
        <v>34</v>
      </c>
      <c r="B5" s="2">
        <f>B3-B4</f>
        <v>55000</v>
      </c>
    </row>
    <row r="6" spans="1:2" x14ac:dyDescent="0.25">
      <c r="A6" t="s">
        <v>28</v>
      </c>
      <c r="B6" s="2">
        <f>SUMIF(Trial_Balance!B:B,A6,Trial_Balance!E:E)</f>
        <v>22000</v>
      </c>
    </row>
    <row r="7" spans="1:2" x14ac:dyDescent="0.25">
      <c r="A7" t="s">
        <v>30</v>
      </c>
      <c r="B7" s="2">
        <f>SUMIF(Trial_Balance!B:B,A7,Trial_Balance!E:E)</f>
        <v>12000</v>
      </c>
    </row>
    <row r="8" spans="1:2" x14ac:dyDescent="0.25">
      <c r="A8" t="s">
        <v>36</v>
      </c>
      <c r="B8" s="2">
        <f>B6+B7</f>
        <v>34000</v>
      </c>
    </row>
    <row r="9" spans="1:2" x14ac:dyDescent="0.25">
      <c r="A9" t="s">
        <v>35</v>
      </c>
      <c r="B9" s="2">
        <f>B5-B8</f>
        <v>21000</v>
      </c>
    </row>
    <row r="12" spans="1:2" x14ac:dyDescent="0.25">
      <c r="A12" s="1" t="s">
        <v>37</v>
      </c>
    </row>
    <row r="14" spans="1:2" x14ac:dyDescent="0.25">
      <c r="A14" t="s">
        <v>6</v>
      </c>
      <c r="B14">
        <f>SUMIF(Trial_Balance!B:B,A14,Trial_Balance!E:E)</f>
        <v>45000</v>
      </c>
    </row>
    <row r="15" spans="1:2" x14ac:dyDescent="0.25">
      <c r="A15" t="s">
        <v>10</v>
      </c>
      <c r="B15">
        <f>SUMIF(Trial_Balance!B:B,A15,Trial_Balance!E:E)</f>
        <v>28000</v>
      </c>
    </row>
    <row r="16" spans="1:2" x14ac:dyDescent="0.25">
      <c r="A16" t="s">
        <v>12</v>
      </c>
      <c r="B16">
        <f>SUMIF(Trial_Balance!B:B,A16,Trial_Balance!E:E)</f>
        <v>15000</v>
      </c>
    </row>
    <row r="17" spans="1:2" x14ac:dyDescent="0.25">
      <c r="A17" t="s">
        <v>38</v>
      </c>
      <c r="B17">
        <f>SUM(B14:B16)</f>
        <v>88000</v>
      </c>
    </row>
    <row r="19" spans="1:2" x14ac:dyDescent="0.25">
      <c r="A19" t="s">
        <v>14</v>
      </c>
      <c r="B19">
        <f>SUMIF(Trial_Balance!B:B,A19,Trial_Balance!E:E)</f>
        <v>12000</v>
      </c>
    </row>
    <row r="20" spans="1:2" x14ac:dyDescent="0.25">
      <c r="A20" t="s">
        <v>18</v>
      </c>
      <c r="B20">
        <f>SUMIF(Trial_Balance!B:B,A20,Trial_Balance!E:E)</f>
        <v>25000</v>
      </c>
    </row>
    <row r="21" spans="1:2" x14ac:dyDescent="0.25">
      <c r="A21" t="s">
        <v>20</v>
      </c>
      <c r="B21">
        <f>SUMIF(Trial_Balance!B:B,A21,Trial_Balance!E:E)</f>
        <v>30000</v>
      </c>
    </row>
    <row r="22" spans="1:2" x14ac:dyDescent="0.25">
      <c r="A22" t="s">
        <v>39</v>
      </c>
      <c r="B22" s="2">
        <f>B9</f>
        <v>21000</v>
      </c>
    </row>
    <row r="23" spans="1:2" x14ac:dyDescent="0.25">
      <c r="A23" t="s">
        <v>40</v>
      </c>
      <c r="B23">
        <f>SUM(B19:B22)</f>
        <v>88000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Trial_Balance</vt:lpstr>
      <vt:lpstr>Financial_Statements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Jose</dc:creator>
  <cp:lastModifiedBy>Denny Jose</cp:lastModifiedBy>
  <dcterms:created xsi:type="dcterms:W3CDTF">2026-10-07T12:00:31Z</dcterms:created>
  <dcterms:modified xsi:type="dcterms:W3CDTF">2026-10-07T12:50:42Z</dcterms:modified>
</cp:coreProperties>
</file>