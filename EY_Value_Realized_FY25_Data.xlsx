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rce_and_Checks" sheetId="1" state="visible" r:id="rId3"/>
    <sheet name="DimFiscalYear" sheetId="2" state="visible" r:id="rId4"/>
    <sheet name="DimServiceLine" sheetId="3" state="visible" r:id="rId5"/>
    <sheet name="DimArea" sheetId="4" state="visible" r:id="rId6"/>
    <sheet name="FactRevenueServiceLine" sheetId="5" state="visible" r:id="rId7"/>
    <sheet name="FactRevenueArea" sheetId="6" state="visible" r:id="rId8"/>
    <sheet name="FactHeadcoun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<sst xmlns="http://schemas.openxmlformats.org/spreadsheetml/2006/main" count="129" uniqueCount="44">
  <si>
    <t xml:space="preserve">Source: EY Value Realized 2025 (PDF, 115 pages). Not EY-audited data entered by hand; verify against the PDF.</t>
  </si>
  <si>
    <t xml:space="preserve">Revenue: PDF page 7 (US$ billions, rounded to 0.1). Headcount: PDF page 66, 'People by service line' (read from screenshot). Blue = reported totals typed from the PDF.</t>
  </si>
  <si>
    <t xml:space="preserve">Check</t>
  </si>
  <si>
    <t xml:space="preserve">FY23</t>
  </si>
  <si>
    <t xml:space="preserve">FY24</t>
  </si>
  <si>
    <t xml:space="preserve">FY25</t>
  </si>
  <si>
    <t xml:space="preserve">Status FY23</t>
  </si>
  <si>
    <t xml:space="preserve">Status FY24</t>
  </si>
  <si>
    <t xml:space="preserve">Status FY25</t>
  </si>
  <si>
    <t xml:space="preserve">Revenue by service line (US$b): reported total (input)</t>
  </si>
  <si>
    <t xml:space="preserve">Revenue by service line (US$b): sum of fact rows</t>
  </si>
  <si>
    <t xml:space="preserve">Revenue by service line (US$b): difference</t>
  </si>
  <si>
    <t xml:space="preserve">Revenue by area (US$b): reported total (input)</t>
  </si>
  <si>
    <t xml:space="preserve">Revenue by area (US$b): sum of fact rows</t>
  </si>
  <si>
    <t xml:space="preserve">Revenue by area (US$b): difference</t>
  </si>
  <si>
    <t xml:space="preserve">Headcount by service line: reported total (input)</t>
  </si>
  <si>
    <t xml:space="preserve">Headcount by service line: sum of fact rows</t>
  </si>
  <si>
    <t xml:space="preserve">Headcount by service line: difference</t>
  </si>
  <si>
    <t xml:space="preserve">NOTES</t>
  </si>
  <si>
    <t xml:space="preserve">1. FY23 headcount: the five service-line rows in the PDF add up to 395,432, but the PDF prints a total of 395,442 (difference 10). The 'People by area' table on the same page does add to 395,442. Rows are stored as printed; do not 'fix' them.</t>
  </si>
  <si>
    <t xml:space="preserve">2. Headcount growth: the PDF's printed 'FY23 vs FY24' % does not match the printed FY23 and FY24 values (e.g. Assurance prints 0.6%, values imply 1.9%). A footnote says FY24 was restated vs. the FY24 report. Compute growth in DAX from the stored values; do not store the printed % for that period.</t>
  </si>
  <si>
    <t xml:space="preserve">3. Revenue growth columns are the PDF's reported growth in LOCAL CURRENCY ('LC'). Growth computed from the USD revenue columns will differ (e.g. Tax FY25: 5.5% LC vs about 5.0% in USD). Label them differently in the report.</t>
  </si>
  <si>
    <t xml:space="preserve">4. FY23 service-line revenue is restated by EY for an internal reorganisation (PDF footnote); no change to total FY23 revenue.</t>
  </si>
  <si>
    <t xml:space="preserve">5. Revenue is shown only in US$ billions rounded to one decimal, so derived figures (e.g. revenue per head) are approximate.</t>
  </si>
  <si>
    <t xml:space="preserve">6. DimServiceLine.IsClientServing: 'Practice support' = FALSE is my classification (it has no revenue line in the PDF), not a field printed by EY.</t>
  </si>
  <si>
    <t xml:space="preserve">7. No Service Line x Area breakdown exists in the PDF, so service-line and area visuals cannot cross-filter each other meaningfully.</t>
  </si>
  <si>
    <t xml:space="preserve">8. DimFiscalYear has no year-end date on purpose: not yet verified from the PDF.</t>
  </si>
  <si>
    <t xml:space="preserve">FiscalYear</t>
  </si>
  <si>
    <t xml:space="preserve">FYNumber</t>
  </si>
  <si>
    <t xml:space="preserve">SortOrder</t>
  </si>
  <si>
    <t xml:space="preserve">ServiceLine</t>
  </si>
  <si>
    <t xml:space="preserve">IsClientServing</t>
  </si>
  <si>
    <t xml:space="preserve">Assurance</t>
  </si>
  <si>
    <t xml:space="preserve">Tax</t>
  </si>
  <si>
    <t xml:space="preserve">Consulting</t>
  </si>
  <si>
    <t xml:space="preserve">Strategy and Transactions</t>
  </si>
  <si>
    <t xml:space="preserve">Practice support</t>
  </si>
  <si>
    <t xml:space="preserve">Area</t>
  </si>
  <si>
    <t xml:space="preserve">Americas</t>
  </si>
  <si>
    <t xml:space="preserve">EMEIA</t>
  </si>
  <si>
    <t xml:space="preserve">Asia-Pacific</t>
  </si>
  <si>
    <t xml:space="preserve">Revenue_USD_b</t>
  </si>
  <si>
    <t xml:space="preserve">Reported_LC_Growth</t>
  </si>
  <si>
    <t xml:space="preserve">Headcount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</si>
</sst>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.0;\-0.0;0.0"/>
    <numFmt numFmtId="167" formatCode="#,##0"/>
    <numFmt numFmtId="168" formatCode="0"/>
    <numFmt numFmtId="169" formatCode="General"/>
    <numFmt numFmtId="170" formatCode="0.0%;\(0.0%\);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2E38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E2E3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2E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imArea" displayName="DimArea" ref="A1:B4" headerRowCount="1" totalsRowCount="0" totalsRowShown="0">
  <autoFilter ref="A1:B4"/>
  <tableColumns count="2">
    <tableColumn id="1" name="Area"/>
    <tableColumn id="2" name="SortOrder"/>
  </tableColumns>
</table>
</file>

<file path=xl/tables/table2.xml><?xml version="1.0" encoding="utf-8"?>
<table xmlns="http://schemas.openxmlformats.org/spreadsheetml/2006/main" id="2" name="DimFiscalYear" displayName="DimFiscalYear" ref="A1:C4" headerRowCount="1" totalsRowCount="0" totalsRowShown="0">
  <autoFilter ref="A1:C4"/>
  <tableColumns count="3">
    <tableColumn id="1" name="FiscalYear"/>
    <tableColumn id="2" name="FYNumber"/>
    <tableColumn id="3" name="SortOrder"/>
  </tableColumns>
</table>
</file>

<file path=xl/tables/table3.xml><?xml version="1.0" encoding="utf-8"?>
<table xmlns="http://schemas.openxmlformats.org/spreadsheetml/2006/main" id="3" name="DimServiceLine" displayName="DimServiceLine" ref="A1:C6" headerRowCount="1" totalsRowCount="0" totalsRowShown="0">
  <autoFilter ref="A1:C6"/>
  <tableColumns count="3">
    <tableColumn id="1" name="ServiceLine"/>
    <tableColumn id="2" name="SortOrder"/>
    <tableColumn id="3" name="IsClientServing"/>
  </tableColumns>
</table>
</file>

<file path=xl/tables/table4.xml><?xml version="1.0" encoding="utf-8"?>
<table xmlns="http://schemas.openxmlformats.org/spreadsheetml/2006/main" id="4" name="FactHeadcount" displayName="FactHeadcount" ref="A1:C16" headerRowCount="1" totalsRowCount="0" totalsRowShown="0">
  <autoFilter ref="A1:C16"/>
  <tableColumns count="3">
    <tableColumn id="1" name="FiscalYear"/>
    <tableColumn id="2" name="ServiceLine"/>
    <tableColumn id="3" name="Headcount"/>
  </tableColumns>
</table>
</file>

<file path=xl/tables/table5.xml><?xml version="1.0" encoding="utf-8"?>
<table xmlns="http://schemas.openxmlformats.org/spreadsheetml/2006/main" id="5" name="FactRevenueArea" displayName="FactRevenueArea" ref="A1:D10" headerRowCount="1" totalsRowCount="0" totalsRowShown="0">
  <autoFilter ref="A1:D10"/>
  <tableColumns count="4">
    <tableColumn id="1" name="FiscalYear"/>
    <tableColumn id="2" name="Area"/>
    <tableColumn id="3" name="Revenue_USD_b"/>
    <tableColumn id="4" name="Reported_LC_Growth"/>
  </tableColumns>
</table>
</file>

<file path=xl/tables/table6.xml><?xml version="1.0" encoding="utf-8"?>
<table xmlns="http://schemas.openxmlformats.org/spreadsheetml/2006/main" id="6" name="FactRevenueServiceLine" displayName="FactRevenueServiceLine" ref="A1:D13" headerRowCount="1" totalsRowCount="0" totalsRowShown="0">
  <autoFilter ref="A1:D13"/>
  <tableColumns count="4">
    <tableColumn id="1" name="FiscalYear"/>
    <tableColumn id="2" name="ServiceLine"/>
    <tableColumn id="3" name="Revenue_USD_b"/>
    <tableColumn id="4" name="Reported_LC_Growt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7" min="2" style="0" width="1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2" t="s">
        <v>9</v>
      </c>
      <c r="B5" s="4" t="n">
        <v>49.4</v>
      </c>
      <c r="C5" s="4" t="n">
        <v>51.2</v>
      </c>
      <c r="D5" s="4" t="n">
        <v>53.2</v>
      </c>
    </row>
    <row r="6" customFormat="false" ht="15" hidden="false" customHeight="false" outlineLevel="0" collapsed="false">
      <c r="A6" s="2" t="s">
        <v>10</v>
      </c>
      <c r="B6" s="5" t="n">
        <f aca="false">ROUND(SUMIFS(FactRevenueServiceLine!$C:$C,FactRevenueServiceLine!$A:$A,B$4),1)</f>
        <v>49.4</v>
      </c>
      <c r="C6" s="5" t="n">
        <f aca="false">ROUND(SUMIFS(FactRevenueServiceLine!$C:$C,FactRevenueServiceLine!$A:$A,C$4),1)</f>
        <v>51.2</v>
      </c>
      <c r="D6" s="5" t="n">
        <f aca="false">ROUND(SUMIFS(FactRevenueServiceLine!$C:$C,FactRevenueServiceLine!$A:$A,D$4),1)</f>
        <v>53.2</v>
      </c>
    </row>
    <row r="7" customFormat="false" ht="15" hidden="false" customHeight="false" outlineLevel="0" collapsed="false">
      <c r="A7" s="2" t="s">
        <v>11</v>
      </c>
      <c r="B7" s="6" t="n">
        <f aca="false">B6-B5</f>
        <v>0</v>
      </c>
      <c r="C7" s="6" t="n">
        <f aca="false">C6-C5</f>
        <v>0</v>
      </c>
      <c r="D7" s="6" t="n">
        <f aca="false">D6-D5</f>
        <v>0</v>
      </c>
      <c r="E7" s="2" t="str">
        <f aca="false">IF(ABS(B7)&lt;=0.05,"OK","DIFFERENCE")</f>
        <v>OK</v>
      </c>
      <c r="F7" s="2" t="str">
        <f aca="false">IF(ABS(C7)&lt;=0.05,"OK","DIFFERENCE")</f>
        <v>OK</v>
      </c>
      <c r="G7" s="2" t="str">
        <f aca="false">IF(ABS(D7)&lt;=0.05,"OK","DIFFERENCE")</f>
        <v>OK</v>
      </c>
    </row>
    <row r="9" customFormat="false" ht="15" hidden="false" customHeight="false" outlineLevel="0" collapsed="false">
      <c r="A9" s="2" t="s">
        <v>12</v>
      </c>
      <c r="B9" s="4" t="n">
        <v>49.4</v>
      </c>
      <c r="C9" s="4" t="n">
        <v>51.2</v>
      </c>
      <c r="D9" s="4" t="n">
        <v>53.2</v>
      </c>
    </row>
    <row r="10" customFormat="false" ht="15" hidden="false" customHeight="false" outlineLevel="0" collapsed="false">
      <c r="A10" s="2" t="s">
        <v>13</v>
      </c>
      <c r="B10" s="5" t="n">
        <f aca="false">ROUND(SUMIFS(FactRevenueArea!$C:$C,FactRevenueArea!$A:$A,B$4),1)</f>
        <v>49.4</v>
      </c>
      <c r="C10" s="5" t="n">
        <f aca="false">ROUND(SUMIFS(FactRevenueArea!$C:$C,FactRevenueArea!$A:$A,C$4),1)</f>
        <v>51.2</v>
      </c>
      <c r="D10" s="5" t="n">
        <f aca="false">ROUND(SUMIFS(FactRevenueArea!$C:$C,FactRevenueArea!$A:$A,D$4),1)</f>
        <v>53.2</v>
      </c>
    </row>
    <row r="11" customFormat="false" ht="15" hidden="false" customHeight="false" outlineLevel="0" collapsed="false">
      <c r="A11" s="2" t="s">
        <v>14</v>
      </c>
      <c r="B11" s="6" t="n">
        <f aca="false">B10-B9</f>
        <v>0</v>
      </c>
      <c r="C11" s="6" t="n">
        <f aca="false">C10-C9</f>
        <v>0</v>
      </c>
      <c r="D11" s="6" t="n">
        <f aca="false">D10-D9</f>
        <v>0</v>
      </c>
      <c r="E11" s="2" t="str">
        <f aca="false">IF(ABS(B11)&lt;=0.05,"OK","DIFFERENCE")</f>
        <v>OK</v>
      </c>
      <c r="F11" s="2" t="str">
        <f aca="false">IF(ABS(C11)&lt;=0.05,"OK","DIFFERENCE")</f>
        <v>OK</v>
      </c>
      <c r="G11" s="2" t="str">
        <f aca="false">IF(ABS(D11)&lt;=0.05,"OK","DIFFERENCE")</f>
        <v>OK</v>
      </c>
    </row>
    <row r="13" customFormat="false" ht="15" hidden="false" customHeight="false" outlineLevel="0" collapsed="false">
      <c r="A13" s="2" t="s">
        <v>15</v>
      </c>
      <c r="B13" s="7" t="n">
        <v>395442</v>
      </c>
      <c r="C13" s="7" t="n">
        <v>393025</v>
      </c>
      <c r="D13" s="7" t="n">
        <v>406209</v>
      </c>
    </row>
    <row r="14" customFormat="false" ht="15" hidden="false" customHeight="false" outlineLevel="0" collapsed="false">
      <c r="A14" s="2" t="s">
        <v>16</v>
      </c>
      <c r="B14" s="8" t="n">
        <f aca="false">SUMIFS(FactHeadcount!$C:$C,FactHeadcount!$A:$A,B$4)</f>
        <v>395432</v>
      </c>
      <c r="C14" s="8" t="n">
        <f aca="false">SUMIFS(FactHeadcount!$C:$C,FactHeadcount!$A:$A,C$4)</f>
        <v>393025</v>
      </c>
      <c r="D14" s="8" t="n">
        <f aca="false">SUMIFS(FactHeadcount!$C:$C,FactHeadcount!$A:$A,D$4)</f>
        <v>406209</v>
      </c>
    </row>
    <row r="15" customFormat="false" ht="15" hidden="false" customHeight="false" outlineLevel="0" collapsed="false">
      <c r="A15" s="2" t="s">
        <v>17</v>
      </c>
      <c r="B15" s="8" t="n">
        <f aca="false">B14-B13</f>
        <v>-10</v>
      </c>
      <c r="C15" s="8" t="n">
        <f aca="false">C14-C13</f>
        <v>0</v>
      </c>
      <c r="D15" s="8" t="n">
        <f aca="false">D14-D13</f>
        <v>0</v>
      </c>
      <c r="E15" s="2" t="str">
        <f aca="false">IF(ABS(B15)&lt;=0,"OK","DIFFERENCE")</f>
        <v>DIFFERENCE</v>
      </c>
      <c r="F15" s="2" t="str">
        <f aca="false">IF(ABS(C15)&lt;=0,"OK","DIFFERENCE")</f>
        <v>OK</v>
      </c>
      <c r="G15" s="2" t="str">
        <f aca="false">IF(ABS(D15)&lt;=0,"OK","DIFFERENCE")</f>
        <v>OK</v>
      </c>
    </row>
    <row r="18" customFormat="false" ht="15" hidden="false" customHeight="true" outlineLevel="0" collapsed="false">
      <c r="A18" s="9" t="s">
        <v>18</v>
      </c>
      <c r="B18" s="9"/>
      <c r="C18" s="9"/>
      <c r="D18" s="9"/>
      <c r="E18" s="9"/>
      <c r="F18" s="9"/>
      <c r="G18" s="9"/>
    </row>
    <row r="19" customFormat="false" ht="48" hidden="false" customHeight="true" outlineLevel="0" collapsed="false">
      <c r="A19" s="10" t="s">
        <v>19</v>
      </c>
      <c r="B19" s="10"/>
      <c r="C19" s="10"/>
      <c r="D19" s="10"/>
      <c r="E19" s="10"/>
      <c r="F19" s="10"/>
      <c r="G19" s="10"/>
    </row>
    <row r="20" customFormat="false" ht="48" hidden="false" customHeight="true" outlineLevel="0" collapsed="false">
      <c r="A20" s="10" t="s">
        <v>20</v>
      </c>
      <c r="B20" s="10"/>
      <c r="C20" s="10"/>
      <c r="D20" s="10"/>
      <c r="E20" s="10"/>
      <c r="F20" s="10"/>
      <c r="G20" s="10"/>
    </row>
    <row r="21" customFormat="false" ht="48" hidden="false" customHeight="true" outlineLevel="0" collapsed="false">
      <c r="A21" s="10" t="s">
        <v>21</v>
      </c>
      <c r="B21" s="10"/>
      <c r="C21" s="10"/>
      <c r="D21" s="10"/>
      <c r="E21" s="10"/>
      <c r="F21" s="10"/>
      <c r="G21" s="10"/>
    </row>
    <row r="22" customFormat="false" ht="48" hidden="false" customHeight="true" outlineLevel="0" collapsed="false">
      <c r="A22" s="10" t="s">
        <v>22</v>
      </c>
      <c r="B22" s="10"/>
      <c r="C22" s="10"/>
      <c r="D22" s="10"/>
      <c r="E22" s="10"/>
      <c r="F22" s="10"/>
      <c r="G22" s="10"/>
    </row>
    <row r="23" customFormat="false" ht="48" hidden="false" customHeight="true" outlineLevel="0" collapsed="false">
      <c r="A23" s="10" t="s">
        <v>23</v>
      </c>
      <c r="B23" s="10"/>
      <c r="C23" s="10"/>
      <c r="D23" s="10"/>
      <c r="E23" s="10"/>
      <c r="F23" s="10"/>
      <c r="G23" s="10"/>
    </row>
    <row r="24" customFormat="false" ht="48" hidden="false" customHeight="true" outlineLevel="0" collapsed="false">
      <c r="A24" s="10" t="s">
        <v>24</v>
      </c>
      <c r="B24" s="10"/>
      <c r="C24" s="10"/>
      <c r="D24" s="10"/>
      <c r="E24" s="10"/>
      <c r="F24" s="10"/>
      <c r="G24" s="10"/>
    </row>
    <row r="25" customFormat="false" ht="48" hidden="false" customHeight="true" outlineLevel="0" collapsed="false">
      <c r="A25" s="10" t="s">
        <v>25</v>
      </c>
      <c r="B25" s="10"/>
      <c r="C25" s="10"/>
      <c r="D25" s="10"/>
      <c r="E25" s="10"/>
      <c r="F25" s="10"/>
      <c r="G25" s="10"/>
    </row>
    <row r="26" customFormat="false" ht="48" hidden="false" customHeight="true" outlineLevel="0" collapsed="false">
      <c r="A26" s="10" t="s">
        <v>26</v>
      </c>
      <c r="B26" s="10"/>
      <c r="C26" s="10"/>
      <c r="D26" s="10"/>
      <c r="E26" s="10"/>
      <c r="F26" s="10"/>
      <c r="G26" s="10"/>
    </row>
  </sheetData>
  <mergeCells count="9">
    <mergeCell ref="A18:G18"/>
    <mergeCell ref="A19:G19"/>
    <mergeCell ref="A20:G20"/>
    <mergeCell ref="A21:G21"/>
    <mergeCell ref="A22:G22"/>
    <mergeCell ref="A23:G23"/>
    <mergeCell ref="A24:G24"/>
    <mergeCell ref="A25:G25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</cols>
  <sheetData>
    <row r="1" customFormat="false" ht="15" hidden="false" customHeight="false" outlineLevel="0" collapsed="false">
      <c r="A1" s="3" t="s">
        <v>27</v>
      </c>
      <c r="B1" s="3" t="s">
        <v>28</v>
      </c>
      <c r="C1" s="3" t="s">
        <v>29</v>
      </c>
    </row>
    <row r="2" customFormat="false" ht="15" hidden="false" customHeight="false" outlineLevel="0" collapsed="false">
      <c r="A2" s="11" t="s">
        <v>3</v>
      </c>
      <c r="B2" s="12" t="n">
        <v>2023</v>
      </c>
      <c r="C2" s="11" t="n">
        <v>1</v>
      </c>
    </row>
    <row r="3" customFormat="false" ht="15" hidden="false" customHeight="false" outlineLevel="0" collapsed="false">
      <c r="A3" s="11" t="s">
        <v>4</v>
      </c>
      <c r="B3" s="12" t="n">
        <v>2024</v>
      </c>
      <c r="C3" s="11" t="n">
        <v>2</v>
      </c>
    </row>
    <row r="4" customFormat="false" ht="15" hidden="false" customHeight="false" outlineLevel="0" collapsed="false">
      <c r="A4" s="11" t="s">
        <v>5</v>
      </c>
      <c r="B4" s="12" t="n">
        <v>2025</v>
      </c>
      <c r="C4" s="11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9"/>
  </cols>
  <sheetData>
    <row r="1" customFormat="false" ht="15" hidden="false" customHeight="false" outlineLevel="0" collapsed="false">
      <c r="A1" s="3" t="s">
        <v>30</v>
      </c>
      <c r="B1" s="3" t="s">
        <v>29</v>
      </c>
      <c r="C1" s="3" t="s">
        <v>31</v>
      </c>
    </row>
    <row r="2" customFormat="false" ht="15" hidden="false" customHeight="false" outlineLevel="0" collapsed="false">
      <c r="A2" s="11" t="s">
        <v>32</v>
      </c>
      <c r="B2" s="11" t="n">
        <v>1</v>
      </c>
      <c r="C2" s="13" t="b">
        <f aca="false">TRUE()</f>
        <v>1</v>
      </c>
    </row>
    <row r="3" customFormat="false" ht="15" hidden="false" customHeight="false" outlineLevel="0" collapsed="false">
      <c r="A3" s="11" t="s">
        <v>33</v>
      </c>
      <c r="B3" s="11" t="n">
        <v>2</v>
      </c>
      <c r="C3" s="13" t="b">
        <f aca="false">TRUE()</f>
        <v>1</v>
      </c>
    </row>
    <row r="4" customFormat="false" ht="15" hidden="false" customHeight="false" outlineLevel="0" collapsed="false">
      <c r="A4" s="11" t="s">
        <v>34</v>
      </c>
      <c r="B4" s="11" t="n">
        <v>3</v>
      </c>
      <c r="C4" s="13" t="b">
        <f aca="false">TRUE()</f>
        <v>1</v>
      </c>
    </row>
    <row r="5" customFormat="false" ht="15" hidden="false" customHeight="false" outlineLevel="0" collapsed="false">
      <c r="A5" s="11" t="s">
        <v>35</v>
      </c>
      <c r="B5" s="11" t="n">
        <v>4</v>
      </c>
      <c r="C5" s="13" t="b">
        <f aca="false">TRUE()</f>
        <v>1</v>
      </c>
    </row>
    <row r="6" customFormat="false" ht="15" hidden="false" customHeight="false" outlineLevel="0" collapsed="false">
      <c r="A6" s="11" t="s">
        <v>36</v>
      </c>
      <c r="B6" s="11" t="n">
        <v>5</v>
      </c>
      <c r="C6" s="13" t="b">
        <f aca="false">FALSE()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37</v>
      </c>
      <c r="B1" s="3" t="s">
        <v>29</v>
      </c>
    </row>
    <row r="2" customFormat="false" ht="15" hidden="false" customHeight="false" outlineLevel="0" collapsed="false">
      <c r="A2" s="11" t="s">
        <v>38</v>
      </c>
      <c r="B2" s="11" t="n">
        <v>1</v>
      </c>
    </row>
    <row r="3" customFormat="false" ht="15" hidden="false" customHeight="false" outlineLevel="0" collapsed="false">
      <c r="A3" s="11" t="s">
        <v>39</v>
      </c>
      <c r="B3" s="11" t="n">
        <v>2</v>
      </c>
    </row>
    <row r="4" customFormat="false" ht="15" hidden="false" customHeight="false" outlineLevel="0" collapsed="false">
      <c r="A4" s="11" t="s">
        <v>40</v>
      </c>
      <c r="B4" s="11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3" t="s">
        <v>27</v>
      </c>
      <c r="B1" s="3" t="s">
        <v>30</v>
      </c>
      <c r="C1" s="3" t="s">
        <v>41</v>
      </c>
      <c r="D1" s="3" t="s">
        <v>42</v>
      </c>
    </row>
    <row r="2" customFormat="false" ht="15" hidden="false" customHeight="false" outlineLevel="0" collapsed="false">
      <c r="A2" s="11" t="s">
        <v>3</v>
      </c>
      <c r="B2" s="11" t="s">
        <v>32</v>
      </c>
      <c r="C2" s="14" t="n">
        <v>15.1</v>
      </c>
      <c r="D2" s="15" t="n">
        <v>0.11</v>
      </c>
    </row>
    <row r="3" customFormat="false" ht="15" hidden="false" customHeight="false" outlineLevel="0" collapsed="false">
      <c r="A3" s="11" t="s">
        <v>3</v>
      </c>
      <c r="B3" s="11" t="s">
        <v>33</v>
      </c>
      <c r="C3" s="14" t="n">
        <v>12.1</v>
      </c>
      <c r="D3" s="15" t="n">
        <v>0.122</v>
      </c>
    </row>
    <row r="4" customFormat="false" ht="15" hidden="false" customHeight="false" outlineLevel="0" collapsed="false">
      <c r="A4" s="11" t="s">
        <v>3</v>
      </c>
      <c r="B4" s="11" t="s">
        <v>34</v>
      </c>
      <c r="C4" s="14" t="n">
        <v>16.1</v>
      </c>
      <c r="D4" s="15" t="n">
        <v>0.216</v>
      </c>
    </row>
    <row r="5" customFormat="false" ht="15" hidden="false" customHeight="false" outlineLevel="0" collapsed="false">
      <c r="A5" s="11" t="s">
        <v>3</v>
      </c>
      <c r="B5" s="11" t="s">
        <v>35</v>
      </c>
      <c r="C5" s="14" t="n">
        <v>6.1</v>
      </c>
      <c r="D5" s="15" t="n">
        <v>0.084</v>
      </c>
    </row>
    <row r="6" customFormat="false" ht="15" hidden="false" customHeight="false" outlineLevel="0" collapsed="false">
      <c r="A6" s="11" t="s">
        <v>4</v>
      </c>
      <c r="B6" s="11" t="s">
        <v>32</v>
      </c>
      <c r="C6" s="14" t="n">
        <v>17.3</v>
      </c>
      <c r="D6" s="15" t="n">
        <v>0.063</v>
      </c>
    </row>
    <row r="7" customFormat="false" ht="15" hidden="false" customHeight="false" outlineLevel="0" collapsed="false">
      <c r="A7" s="11" t="s">
        <v>4</v>
      </c>
      <c r="B7" s="11" t="s">
        <v>33</v>
      </c>
      <c r="C7" s="14" t="n">
        <v>12.1</v>
      </c>
      <c r="D7" s="15" t="n">
        <v>0.063</v>
      </c>
    </row>
    <row r="8" customFormat="false" ht="15" hidden="false" customHeight="false" outlineLevel="0" collapsed="false">
      <c r="A8" s="11" t="s">
        <v>4</v>
      </c>
      <c r="B8" s="11" t="s">
        <v>34</v>
      </c>
      <c r="C8" s="14" t="n">
        <v>15.6</v>
      </c>
      <c r="D8" s="15" t="n">
        <v>0.001</v>
      </c>
    </row>
    <row r="9" customFormat="false" ht="15" hidden="false" customHeight="false" outlineLevel="0" collapsed="false">
      <c r="A9" s="11" t="s">
        <v>4</v>
      </c>
      <c r="B9" s="11" t="s">
        <v>35</v>
      </c>
      <c r="C9" s="14" t="n">
        <v>6.2</v>
      </c>
      <c r="D9" s="15" t="n">
        <v>0.023</v>
      </c>
    </row>
    <row r="10" customFormat="false" ht="15" hidden="false" customHeight="false" outlineLevel="0" collapsed="false">
      <c r="A10" s="11" t="s">
        <v>5</v>
      </c>
      <c r="B10" s="11" t="s">
        <v>32</v>
      </c>
      <c r="C10" s="14" t="n">
        <v>17.9</v>
      </c>
      <c r="D10" s="15" t="n">
        <v>0.035</v>
      </c>
    </row>
    <row r="11" customFormat="false" ht="15" hidden="false" customHeight="false" outlineLevel="0" collapsed="false">
      <c r="A11" s="11" t="s">
        <v>5</v>
      </c>
      <c r="B11" s="11" t="s">
        <v>33</v>
      </c>
      <c r="C11" s="14" t="n">
        <v>12.7</v>
      </c>
      <c r="D11" s="15" t="n">
        <v>0.055</v>
      </c>
    </row>
    <row r="12" customFormat="false" ht="15" hidden="false" customHeight="false" outlineLevel="0" collapsed="false">
      <c r="A12" s="11" t="s">
        <v>5</v>
      </c>
      <c r="B12" s="11" t="s">
        <v>34</v>
      </c>
      <c r="C12" s="14" t="n">
        <v>16.4</v>
      </c>
      <c r="D12" s="15" t="n">
        <v>0.052</v>
      </c>
    </row>
    <row r="13" customFormat="false" ht="15" hidden="false" customHeight="false" outlineLevel="0" collapsed="false">
      <c r="A13" s="11" t="s">
        <v>5</v>
      </c>
      <c r="B13" s="11" t="s">
        <v>35</v>
      </c>
      <c r="C13" s="14" t="n">
        <v>6.2</v>
      </c>
      <c r="D13" s="15" t="n">
        <v>-0.004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3" t="s">
        <v>27</v>
      </c>
      <c r="B1" s="3" t="s">
        <v>37</v>
      </c>
      <c r="C1" s="3" t="s">
        <v>41</v>
      </c>
      <c r="D1" s="3" t="s">
        <v>42</v>
      </c>
    </row>
    <row r="2" customFormat="false" ht="15" hidden="false" customHeight="false" outlineLevel="0" collapsed="false">
      <c r="A2" s="11" t="s">
        <v>3</v>
      </c>
      <c r="B2" s="11" t="s">
        <v>38</v>
      </c>
      <c r="C2" s="14" t="n">
        <v>23.6</v>
      </c>
      <c r="D2" s="15" t="n">
        <v>0.129</v>
      </c>
    </row>
    <row r="3" customFormat="false" ht="15" hidden="false" customHeight="false" outlineLevel="0" collapsed="false">
      <c r="A3" s="11" t="s">
        <v>3</v>
      </c>
      <c r="B3" s="11" t="s">
        <v>39</v>
      </c>
      <c r="C3" s="14" t="n">
        <v>18.3</v>
      </c>
      <c r="D3" s="15" t="n">
        <v>0.169</v>
      </c>
    </row>
    <row r="4" customFormat="false" ht="15" hidden="false" customHeight="false" outlineLevel="0" collapsed="false">
      <c r="A4" s="11" t="s">
        <v>3</v>
      </c>
      <c r="B4" s="11" t="s">
        <v>40</v>
      </c>
      <c r="C4" s="14" t="n">
        <v>7.5</v>
      </c>
      <c r="D4" s="15" t="n">
        <v>0.117</v>
      </c>
    </row>
    <row r="5" customFormat="false" ht="15" hidden="false" customHeight="false" outlineLevel="0" collapsed="false">
      <c r="A5" s="11" t="s">
        <v>4</v>
      </c>
      <c r="B5" s="11" t="s">
        <v>38</v>
      </c>
      <c r="C5" s="14" t="n">
        <v>24.1</v>
      </c>
      <c r="D5" s="15" t="n">
        <v>0.027</v>
      </c>
    </row>
    <row r="6" customFormat="false" ht="15" hidden="false" customHeight="false" outlineLevel="0" collapsed="false">
      <c r="A6" s="11" t="s">
        <v>4</v>
      </c>
      <c r="B6" s="11" t="s">
        <v>39</v>
      </c>
      <c r="C6" s="14" t="n">
        <v>19.9</v>
      </c>
      <c r="D6" s="15" t="n">
        <v>0.069</v>
      </c>
    </row>
    <row r="7" customFormat="false" ht="15" hidden="false" customHeight="false" outlineLevel="0" collapsed="false">
      <c r="A7" s="11" t="s">
        <v>4</v>
      </c>
      <c r="B7" s="11" t="s">
        <v>40</v>
      </c>
      <c r="C7" s="14" t="n">
        <v>7.2</v>
      </c>
      <c r="D7" s="15" t="n">
        <v>0</v>
      </c>
    </row>
    <row r="8" customFormat="false" ht="15" hidden="false" customHeight="false" outlineLevel="0" collapsed="false">
      <c r="A8" s="11" t="s">
        <v>5</v>
      </c>
      <c r="B8" s="11" t="s">
        <v>38</v>
      </c>
      <c r="C8" s="14" t="n">
        <v>24.7</v>
      </c>
      <c r="D8" s="15" t="n">
        <v>0.033</v>
      </c>
    </row>
    <row r="9" customFormat="false" ht="15" hidden="false" customHeight="false" outlineLevel="0" collapsed="false">
      <c r="A9" s="11" t="s">
        <v>5</v>
      </c>
      <c r="B9" s="11" t="s">
        <v>39</v>
      </c>
      <c r="C9" s="14" t="n">
        <v>21.1</v>
      </c>
      <c r="D9" s="15" t="n">
        <v>0.055</v>
      </c>
    </row>
    <row r="10" customFormat="false" ht="15" hidden="false" customHeight="false" outlineLevel="0" collapsed="false">
      <c r="A10" s="11" t="s">
        <v>5</v>
      </c>
      <c r="B10" s="11" t="s">
        <v>40</v>
      </c>
      <c r="C10" s="14" t="n">
        <v>7.4</v>
      </c>
      <c r="D10" s="15" t="n">
        <v>0.023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3" t="s">
        <v>27</v>
      </c>
      <c r="B1" s="3" t="s">
        <v>30</v>
      </c>
      <c r="C1" s="3" t="s">
        <v>43</v>
      </c>
    </row>
    <row r="2" customFormat="false" ht="15" hidden="false" customHeight="false" outlineLevel="0" collapsed="false">
      <c r="A2" s="11" t="s">
        <v>3</v>
      </c>
      <c r="B2" s="11" t="s">
        <v>32</v>
      </c>
      <c r="C2" s="16" t="n">
        <v>125244</v>
      </c>
    </row>
    <row r="3" customFormat="false" ht="15" hidden="false" customHeight="false" outlineLevel="0" collapsed="false">
      <c r="A3" s="11" t="s">
        <v>3</v>
      </c>
      <c r="B3" s="11" t="s">
        <v>33</v>
      </c>
      <c r="C3" s="16" t="n">
        <v>73863</v>
      </c>
    </row>
    <row r="4" customFormat="false" ht="15" hidden="false" customHeight="false" outlineLevel="0" collapsed="false">
      <c r="A4" s="11" t="s">
        <v>3</v>
      </c>
      <c r="B4" s="11" t="s">
        <v>34</v>
      </c>
      <c r="C4" s="16" t="n">
        <v>118703</v>
      </c>
    </row>
    <row r="5" customFormat="false" ht="15" hidden="false" customHeight="false" outlineLevel="0" collapsed="false">
      <c r="A5" s="11" t="s">
        <v>3</v>
      </c>
      <c r="B5" s="11" t="s">
        <v>35</v>
      </c>
      <c r="C5" s="16" t="n">
        <v>26387</v>
      </c>
    </row>
    <row r="6" customFormat="false" ht="15" hidden="false" customHeight="false" outlineLevel="0" collapsed="false">
      <c r="A6" s="11" t="s">
        <v>3</v>
      </c>
      <c r="B6" s="11" t="s">
        <v>36</v>
      </c>
      <c r="C6" s="16" t="n">
        <v>51235</v>
      </c>
    </row>
    <row r="7" customFormat="false" ht="15" hidden="false" customHeight="false" outlineLevel="0" collapsed="false">
      <c r="A7" s="11" t="s">
        <v>4</v>
      </c>
      <c r="B7" s="11" t="s">
        <v>32</v>
      </c>
      <c r="C7" s="16" t="n">
        <v>127617</v>
      </c>
    </row>
    <row r="8" customFormat="false" ht="15" hidden="false" customHeight="false" outlineLevel="0" collapsed="false">
      <c r="A8" s="11" t="s">
        <v>4</v>
      </c>
      <c r="B8" s="11" t="s">
        <v>33</v>
      </c>
      <c r="C8" s="16" t="n">
        <v>73098</v>
      </c>
    </row>
    <row r="9" customFormat="false" ht="15" hidden="false" customHeight="false" outlineLevel="0" collapsed="false">
      <c r="A9" s="11" t="s">
        <v>4</v>
      </c>
      <c r="B9" s="11" t="s">
        <v>34</v>
      </c>
      <c r="C9" s="16" t="n">
        <v>117900</v>
      </c>
    </row>
    <row r="10" customFormat="false" ht="15" hidden="false" customHeight="false" outlineLevel="0" collapsed="false">
      <c r="A10" s="11" t="s">
        <v>4</v>
      </c>
      <c r="B10" s="11" t="s">
        <v>35</v>
      </c>
      <c r="C10" s="16" t="n">
        <v>25483</v>
      </c>
    </row>
    <row r="11" customFormat="false" ht="15" hidden="false" customHeight="false" outlineLevel="0" collapsed="false">
      <c r="A11" s="11" t="s">
        <v>4</v>
      </c>
      <c r="B11" s="11" t="s">
        <v>36</v>
      </c>
      <c r="C11" s="16" t="n">
        <v>48927</v>
      </c>
    </row>
    <row r="12" customFormat="false" ht="15" hidden="false" customHeight="false" outlineLevel="0" collapsed="false">
      <c r="A12" s="11" t="s">
        <v>5</v>
      </c>
      <c r="B12" s="11" t="s">
        <v>32</v>
      </c>
      <c r="C12" s="16" t="n">
        <v>130898</v>
      </c>
    </row>
    <row r="13" customFormat="false" ht="15" hidden="false" customHeight="false" outlineLevel="0" collapsed="false">
      <c r="A13" s="11" t="s">
        <v>5</v>
      </c>
      <c r="B13" s="11" t="s">
        <v>33</v>
      </c>
      <c r="C13" s="16" t="n">
        <v>75314</v>
      </c>
    </row>
    <row r="14" customFormat="false" ht="15" hidden="false" customHeight="false" outlineLevel="0" collapsed="false">
      <c r="A14" s="11" t="s">
        <v>5</v>
      </c>
      <c r="B14" s="11" t="s">
        <v>34</v>
      </c>
      <c r="C14" s="16" t="n">
        <v>124238</v>
      </c>
    </row>
    <row r="15" customFormat="false" ht="15" hidden="false" customHeight="false" outlineLevel="0" collapsed="false">
      <c r="A15" s="11" t="s">
        <v>5</v>
      </c>
      <c r="B15" s="11" t="s">
        <v>35</v>
      </c>
      <c r="C15" s="16" t="n">
        <v>25036</v>
      </c>
    </row>
    <row r="16" customFormat="false" ht="15" hidden="false" customHeight="false" outlineLevel="0" collapsed="false">
      <c r="A16" s="11" t="s">
        <v>5</v>
      </c>
      <c r="B16" s="11" t="s">
        <v>36</v>
      </c>
      <c r="C16" s="16" t="n">
        <v>50723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2026-10-17T13:28:24Z</dcterms:created>
  <dc:creator>openpyxl</dc:creator>
  <dc:description/>
  <dc:language>en-US</dc:language>
  <cp:lastModifiedBy/>
  <dcterms:modified xsi:type="dcterms:W3CDTF">2026-10-17T13:28:24Z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